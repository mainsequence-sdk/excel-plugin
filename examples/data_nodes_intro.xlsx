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/code/MainSequenceServerSide/excel-plugin/examples/"/>
    </mc:Choice>
  </mc:AlternateContent>
  <xr:revisionPtr revIDLastSave="0" documentId="13_ncr:1_{8CE7672C-4180-F84D-9DFC-775A45139829}" xr6:coauthVersionLast="47" xr6:coauthVersionMax="47" xr10:uidLastSave="{00000000-0000-0000-0000-000000000000}"/>
  <bookViews>
    <workbookView xWindow="0" yWindow="760" windowWidth="23240" windowHeight="13880" xr2:uid="{37A25957-7996-1343-95F1-8493850F344D}"/>
  </bookViews>
  <sheets>
    <sheet name="simple_data_node" sheetId="1" r:id="rId1"/>
    <sheet name="Asset Detail" sheetId="3" r:id="rId2"/>
    <sheet name="curve_expans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 a="1"/>
  <c r="G11" i="1" s="1"/>
  <c r="E27" i="3" a="1"/>
  <c r="E27" i="3" s="1"/>
  <c r="E12" i="3" a="1"/>
  <c r="E12" i="3" s="1"/>
  <c r="F9" i="3" s="1" a="1"/>
  <c r="F9" i="3" s="1"/>
  <c r="H9" i="3" a="1"/>
  <c r="H9" i="3" s="1"/>
  <c r="I9" i="3" a="1"/>
  <c r="I9" i="3" s="1"/>
  <c r="C11" i="1"/>
  <c r="C10" i="1"/>
  <c r="F9" i="2" a="1"/>
  <c r="F9" i="2" s="1"/>
  <c r="C11" i="2"/>
  <c r="C1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<sst xmlns="http://schemas.openxmlformats.org/spreadsheetml/2006/main" count="33" uniqueCount="27">
  <si>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</si>
  <si>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</si>
  <si>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</si>
  <si>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</si>
  <si>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</si>
  <si>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</si>
  <si>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</si>
  <si>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</si>
  <si>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</si>
  <si>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discount_curves</t>
  </si>
  <si>
    <t>Assets</t>
  </si>
  <si>
    <t>91_ACBE_24L</t>
  </si>
  <si>
    <t xml:space="preserve"> 90_CBPF_48</t>
  </si>
  <si>
    <t xml:space="preserve"> 90_CDMXCB_19</t>
  </si>
  <si>
    <t xml:space="preserve"> 90_CHIACB_07</t>
  </si>
  <si>
    <t>91_ACBE_24-2L</t>
  </si>
  <si>
    <t xml:space="preserve"> 91_APEX_23</t>
  </si>
  <si>
    <t xml:space="preserve"> 91_APEX_23-2</t>
  </si>
  <si>
    <t xml:space="preserve"> 90_EDOMEX_22X</t>
  </si>
  <si>
    <t xml:space="preserve"> 90_GCDMXCB_17X</t>
  </si>
  <si>
    <t xml:space="preserve"> 90_GCDMXCB_18V</t>
  </si>
  <si>
    <t>FAIL_ASSET</t>
  </si>
  <si>
    <t>current_pricing_detail</t>
  </si>
  <si>
    <t>current_snapshot</t>
  </si>
  <si>
    <t>name</t>
  </si>
  <si>
    <t>pricing_details_date</t>
  </si>
  <si>
    <t>Get JSON 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</si>
</sst>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_xldudf_MAINSEQUENCE_GET_DATA</we:customFunctionIds>
        <we:customFunctionIds>_xldudf_MAINSEQUENCE_GET_ASSET</we:customFunctionIds>
        <we:customFunctionIds>_xldudf_MAINSEQUENCE_GET_ASSET_FIELD</we:customFunctionIds>
        <we:customFunctionIds>_xldudf_MAINSEQUENCE_GET_JSON_VALUE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9:G19"/>
  <sheetViews>
    <sheetView tabSelected="1" workbookViewId="0">
      <selection activeCell="G11" sqref="G11"/>
    </sheetView>
  </sheetViews>
  <sheetFormatPr baseColWidth="10" defaultColWidth="10.83203125" defaultRowHeight="16"/>
  <cols>
    <col min="2" max="2" width="16.5" customWidth="1"/>
    <col min="3" max="3" width="22.1640625" customWidth="1"/>
  </cols>
  <sheetData>
    <row r="9" spans="2:7">
      <c r="B9" t="s">
        <v>0</v>
      </c>
      <c r="C9" s="2" t="s">
        <v>6</v>
      </c>
    </row>
    <row r="10" spans="2:7">
      <c r="B10" t="s">
        <v>1</v>
      </c>
      <c r="C10" s="1">
        <f>DATE(2022,6,20)</f>
        <v>44732</v>
      </c>
    </row>
    <row r="11" spans="2:7">
      <c r="B11" t="s">
        <v>2</v>
      </c>
      <c r="C11" s="1">
        <f>DATE(2022,6,25)</f>
        <v>44737</v>
      </c>
      <c r="G11" t="e" cm="1">
        <f t="array" ref="G11">_xldudf_MAINSEQUENCE_GET_DATA(C10, C11, B18:B19,C9,  500,"null","null")</f>
        <v>#VALUE!</v>
      </c>
    </row>
    <row r="12" spans="2:7">
      <c r="B12" t="s">
        <v>7</v>
      </c>
    </row>
    <row r="13" spans="2:7">
      <c r="B13" t="s">
        <v>8</v>
      </c>
    </row>
    <row r="17" spans="2:2">
      <c r="B17" t="s">
        <v>3</v>
      </c>
    </row>
    <row r="18" spans="2:2">
      <c r="B18" s="2" t="s">
        <v>4</v>
      </c>
    </row>
    <row r="19" spans="2:2">
      <c r="B19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E505-7C51-F949-84FB-580C9CDDFA81}">
  <dimension ref="C7:I27"/>
  <sheetViews>
    <sheetView topLeftCell="A9" zoomScaleNormal="100" workbookViewId="0">
      <selection activeCell="E27" sqref="E27"/>
    </sheetView>
  </sheetViews>
  <sheetFormatPr baseColWidth="10" defaultColWidth="10.83203125" defaultRowHeight="16"/>
  <cols>
    <col min="3" max="3" width="18.5" customWidth="1"/>
    <col min="4" max="4" width="19.1640625" customWidth="1"/>
    <col min="5" max="5" width="46.1640625" customWidth="1"/>
    <col min="6" max="6" width="21.83203125" customWidth="1"/>
    <col min="8" max="8" width="15.33203125" bestFit="1" customWidth="1"/>
    <col min="9" max="9" width="13.6640625" bestFit="1" customWidth="1"/>
  </cols>
  <sheetData>
    <row r="7" spans="3:9">
      <c r="F7" t="s">
        <v>25</v>
      </c>
    </row>
    <row r="8" spans="3:9">
      <c r="C8" t="s">
        <v>10</v>
      </c>
      <c r="F8" t="s">
        <v>22</v>
      </c>
      <c r="H8" t="s">
        <v>23</v>
      </c>
      <c r="I8" t="s">
        <v>24</v>
      </c>
    </row>
    <row r="9" spans="3:9">
      <c r="C9" s="3" t="s">
        <v>11</v>
      </c>
      <c r="F9" t="e" cm="1">
        <f t="array" aca="1" ref="F9" ca="1">INDEX(PARSEJSON(VLOOKUP($F8,E12:F60,2,0)),F7)</f>
        <v>#NAME?</v>
      </c>
      <c r="H9" t="e" cm="1">
        <f t="array" aca="1" ref="H9" ca="1">INDEX(PARSEJSON($D9), H8)</f>
        <v>#NAME?</v>
      </c>
      <c r="I9" t="e" cm="1">
        <f t="array" aca="1" ref="I9" ca="1">INDEX(PARSEJSON($H9), I8)</f>
        <v>#NAME?</v>
      </c>
    </row>
    <row r="10" spans="3:9">
      <c r="C10" t="s">
        <v>12</v>
      </c>
    </row>
    <row r="11" spans="3:9">
      <c r="C11" t="s">
        <v>13</v>
      </c>
    </row>
    <row r="12" spans="3:9">
      <c r="C12" t="s">
        <v>14</v>
      </c>
      <c r="E12" t="str" cm="1">
        <f t="array" ref="E12:F23">_xldudf_MAINSEQUENCE_GET_ASSET(C9)</f>
        <v>id</v>
      </c>
      <c r="F12" t="str">
        <v>119595</v>
      </c>
    </row>
    <row r="13" spans="3:9">
      <c r="C13" s="3" t="s">
        <v>15</v>
      </c>
      <c r="E13" t="str">
        <v>unique_identifier</v>
      </c>
      <c r="F13" t="str">
        <v>91_ACBE_24L</v>
      </c>
    </row>
    <row r="14" spans="3:9">
      <c r="C14" t="s">
        <v>16</v>
      </c>
      <c r="E14" t="str">
        <v>figi</v>
      </c>
      <c r="F14" t="str">
        <v/>
      </c>
    </row>
    <row r="15" spans="3:9">
      <c r="C15" t="s">
        <v>17</v>
      </c>
      <c r="E15" t="str">
        <v>is_custom_by_organization</v>
      </c>
      <c r="F15" t="str">
        <v>true</v>
      </c>
    </row>
    <row r="16" spans="3:9">
      <c r="C16" t="s">
        <v>18</v>
      </c>
      <c r="E16" t="str">
        <v>composite</v>
      </c>
      <c r="F16" t="str">
        <v/>
      </c>
    </row>
    <row r="17" spans="3:6">
      <c r="C17" t="s">
        <v>19</v>
      </c>
      <c r="E17" t="str">
        <v>security_type</v>
      </c>
      <c r="F17" t="str">
        <v/>
      </c>
    </row>
    <row r="18" spans="3:6">
      <c r="C18" t="s">
        <v>20</v>
      </c>
      <c r="E18" t="str">
        <v>security_type_2</v>
      </c>
      <c r="F18" t="str">
        <v/>
      </c>
    </row>
    <row r="19" spans="3:6">
      <c r="C19" t="s">
        <v>21</v>
      </c>
      <c r="E19" t="str">
        <v>security_market_sector</v>
      </c>
      <c r="F19" t="str">
        <v/>
      </c>
    </row>
    <row r="20" spans="3:6">
      <c r="E20" t="str">
        <v>share_class</v>
      </c>
      <c r="F20" t="str">
        <v/>
      </c>
    </row>
    <row r="21" spans="3:6">
      <c r="E21" t="str">
        <v>isin</v>
      </c>
      <c r="F21" t="str">
        <v/>
      </c>
    </row>
    <row r="22" spans="3:6">
      <c r="E22" t="str">
        <v>current_snapshot</v>
      </c>
      <c r="F22" t="str">
        <v>{"asset":119595,"effective_from":"2025-09-09T13:14:01.212677Z","effective_to":null,"name":"91_ACBE_24L","ticker":"91_ACBE_24L","exchange_code":null,"asset_ticker_group_id":"MSILYE18XQHO","venue_specific_properties":null}</v>
      </c>
    </row>
    <row r="23" spans="3:6">
      <c r="E23" t="str">
        <v>current_pricing_detail</v>
      </c>
      <c r="F23" t="str">
        <v>{"instrument_dump":{"instrument":{"spread":0.00094999,"calendar":{"name":"Mexican stock exchange"},"schedule":{"dates":["2025-08-24","2025-09-23","2025-10-21","2025-11-18","2025-12-16","2026-01-13","2026-02-10","2026-03-10","2026-04-07","2026-05-05","2026-06-02","2026-06-30","2026-07-28","2026-08-25","2026-09-22","2026-10-20","2026-11-17","2026-12-14","2027-01-11","2027-02-08","2027-03-08","2027-04-05","2027-05-03","2027-05-30","2027-05-31"],"calendar":{"name":"Mexican stock exchange"},"business_day_convention":"Following"},"day_count":"Actual360","face_value":100,"issue_date":"2024-04-08","maturity_date":"2027-05-31","settlement_days":1,"coupon_frequency":"28D","main_sequence_asset_id":119595,"business_day_convention":"Following","floating_rate_index_name":"TIIE_28"},"instrument_type":"FloatingRateBond"},"pricing_details_date":"2025-08-27T00:00:00Z"}</v>
      </c>
    </row>
    <row r="27" spans="3:6">
      <c r="D27" t="s">
        <v>26</v>
      </c>
      <c r="E27" t="str" cm="1">
        <f t="array" ref="E27">_xldudf_MAINSEQUENCE_GET_JSON_VALUE(F22,"asset")</f>
        <v>119595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H20"/>
  <sheetViews>
    <sheetView workbookViewId="0">
      <selection activeCell="C10" sqref="C10"/>
    </sheetView>
  </sheetViews>
  <sheetFormatPr baseColWidth="10" defaultColWidth="10.83203125" defaultRowHeight="16"/>
  <cols>
    <col min="2" max="2" width="18" customWidth="1"/>
    <col min="6" max="6" width="22.33203125" customWidth="1"/>
    <col min="7" max="7" width="32.6640625" customWidth="1"/>
  </cols>
  <sheetData>
    <row r="9" spans="2:8">
      <c r="B9" t="s">
        <v>0</v>
      </c>
      <c r="C9" s="2" t="s">
        <v>9</v>
      </c>
      <c r="F9" t="str" cm="1">
        <f t="array" ref="F9:H20">_xldudf_MAINSEQUENCE_GET_DATA(C10, C11, B18:B19,C9, TRUE, TRUE, 10, 0,"null")</f>
        <v>time_index</v>
      </c>
      <c r="G9" t="str">
        <v>unique_identifier</v>
      </c>
      <c r="H9" t="str">
        <v>curve</v>
      </c>
    </row>
    <row r="10" spans="2:8">
      <c r="B10" t="s">
        <v>1</v>
      </c>
      <c r="C10" s="1">
        <f>DATE(2025,10,20)</f>
        <v>45950</v>
      </c>
      <c r="F10" t="str">
        <v>2025-10-20T04:15:30Z</v>
      </c>
      <c r="G10" t="str">
        <v>POLYGON_UST_CMT_ZERO_CURVE</v>
      </c>
      <c r="H10" t="str">
        <v>H4sIAAe6B2kC/02OOQ7DQAwD/7K1EZCSqCNfC/z3LGwXZjuYAX/Lsb74IBjzWhxreAGffIM8lqduogYni8p0dm6nnporWpRgJY3Zsdj2WN1bKRqi2wVdwefEOEyFwVDVO0jMzYgIRdQGYkbZ+Qf6bWN9uwAAAA==</v>
      </c>
    </row>
    <row r="11" spans="2:8">
      <c r="B11" t="s">
        <v>2</v>
      </c>
      <c r="C11" s="1">
        <f>DATE(2025,11,15)</f>
        <v>45976</v>
      </c>
      <c r="F11" t="str">
        <v>2025-10-21T04:15:30Z</v>
      </c>
      <c r="G11" t="str">
        <v>POLYGON_UST_CMT_ZERO_CURVE</v>
      </c>
      <c r="H11" t="str">
        <v>H4sIAAe6B2kC/0XOyw3EQAgD0F7mHK0wHwNpbZXeg5KR4usTxv9lsk75iQP9RfNYjQesKV+0jmWMV6LFTZihTvWR3GUWloxOwCqyRlC6j4rKkEgiJulP397Q80CILAHIIUi/BrFZUhbOVA+t6wYu1+8MugAAAA==</v>
      </c>
    </row>
    <row r="12" spans="2:8">
      <c r="B12" t="s">
        <v>7</v>
      </c>
      <c r="F12" t="str">
        <v>2025-10-22T04:15:30Z</v>
      </c>
      <c r="G12" t="str">
        <v>POLYGON_UST_CMT_ZERO_CURVE</v>
      </c>
      <c r="H12" t="str">
        <v>H4sIAAe6B2kC/02OQQ4CMQwD/9JzhRKncRy+hvg7ZbcS+DqakV8jbDztYcut/5ZztF8gmvYbNEcwb5IygLWqLeXYTp1aZJRQyZYYxTlcOJaIgowyc6y8eueDFMoFJ5glbrZf3dAN2d/WtoLt/f4AQPNAfbsAAAA=</v>
      </c>
    </row>
    <row r="13" spans="2:8">
      <c r="B13" t="s">
        <v>8</v>
      </c>
      <c r="F13" t="str">
        <v>2025-10-23T04:15:30Z</v>
      </c>
      <c r="G13" t="str">
        <v>POLYGON_UST_CMT_ZERO_CURVE</v>
      </c>
      <c r="H13" t="str">
        <v>H4sIAAe6B2kC/02OSwoDQQgF79LrJjyf/1wtzN0jMw2JLssq/CzFeuMFE+nfMPdquYG2/YGUvTT8IUFBRs2Kq42SJ6YezSLNJBEWe0nxSE2y3CfCDt6180EboRQL5LjqY6EfKDAWci7CzVB6fQEzYnCZuQAAAA==</v>
      </c>
    </row>
    <row r="14" spans="2:8">
      <c r="F14" t="str">
        <v>2025-10-24T04:15:30Z</v>
      </c>
      <c r="G14" t="str">
        <v>POLYGON_UST_CMT_ZERO_CURVE</v>
      </c>
      <c r="H14" t="str">
        <v>H4sIAAe6B2kC/02OSQ7DMAwD/+JzUEiiqCVfK/L32omBhhceBkPwOyDjlI+4Sr/CY7TeAA35B5wEwQfFlKC+Gi5+jNxrYLSXSTKUYTElLdtWmyGLWhr0zHtvn2gWC4JaH3JZ0g9T8bTWzECpm/P6AQW09wu7AAAA</v>
      </c>
    </row>
    <row r="15" spans="2:8">
      <c r="F15" t="str">
        <v>2025-10-27T04:15:30Z</v>
      </c>
      <c r="G15" t="str">
        <v>POLYGON_UST_CMT_ZERO_CURVE</v>
      </c>
      <c r="H15" t="str">
        <v>H4sIAAe6B2kC/0WOSw7CUAwD7/LWFUrs/MzVEHfn0VbgXTLKxK9FW097WJjsF+ex5OeeM/pn6lisvEjBkXKNJ8ozjtW3jFliM2bY1eMb+eA+E0C0hJjIsTiNdwkFrL5SGIP7mZsu5sbGnryZwxHeH7H2jUm7AAAA</v>
      </c>
    </row>
    <row r="16" spans="2:8">
      <c r="F16" t="str">
        <v>2025-10-28T04:15:30Z</v>
      </c>
      <c r="G16" t="str">
        <v>POLYGON_UST_CMT_ZERO_CURVE</v>
      </c>
      <c r="H16" t="str">
        <v>H4sIAAe6B2kC/02OyQ3DQAwDe9F7EYg6qbQWpPds7H2YTw444Edc5a0vDa15pJYMLuDko+cGXnmTMlgOhkgrZCzpY/NMVhUzsklGLwHtzAYadKjvWPUlPCc26gCQKI3aQujcDGp/G8In2sL4/QGv8SQ5uwAAAA==</v>
      </c>
    </row>
    <row r="17" spans="2:8">
      <c r="B17" t="s">
        <v>3</v>
      </c>
      <c r="F17" t="str">
        <v>2025-10-29T04:15:30Z</v>
      </c>
      <c r="G17" t="str">
        <v>POLYGON_UST_CMT_ZERO_CURVE</v>
      </c>
      <c r="H17" t="str">
        <v>H4sIAAe6B2kC/03NUQ6CMQgD4LvseTGFwihezfx3dzqN9rFfKI9BjDtuCHj/Zc3R9gY28Qsz5+DKQ0VGwuGGkscc9VnjUm6zUviScZPJ8/upcteUq1U6g+cuEe7R2l+R4ssMfdAQvZq1C1WHresJllyIK70AAAA=</v>
      </c>
    </row>
    <row r="18" spans="2:8">
      <c r="B18" s="2"/>
      <c r="F18" t="str">
        <v>2025-10-30T04:15:30Z</v>
      </c>
      <c r="G18" t="str">
        <v>POLYGON_UST_CMT_ZERO_CURVE</v>
      </c>
      <c r="H18" t="str">
        <v>H4sIAAe6B2kC/0WNyQ0DMQzEevHbCGZ0K60F23uEdQ5+9CDEeS3FeuIBg+MHlXs1b6HN/pNle2n4UalqRXdLpHXslZ+aJqJYY6JMJsYS/+5QHVqEcM5dO0+OGtrVrCKa0yP6SE5vFkY6HZJyvQG7yf+NugAAAA==</v>
      </c>
    </row>
    <row r="19" spans="2:8">
      <c r="F19" t="str">
        <v>2025-10-31T00:00:00Z</v>
      </c>
      <c r="G19" t="str">
        <v>F_TIIE_28_VALMER</v>
      </c>
      <c r="H19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... [truncated 152628]</v>
      </c>
    </row>
    <row r="20" spans="2:8">
      <c r="F20" t="str">
        <v>More data available. Next offset: 10. Page size: 10</v>
      </c>
      <c r="G20" t="str">
        <v/>
      </c>
      <c r="H20" t="str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simple_data_node</vt:lpstr>
      <vt:lpstr>Asset Detail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Jose Antonio Alatorre Sanchez</cp:lastModifiedBy>
  <dcterms:created xsi:type="dcterms:W3CDTF">2025-12-03T12:21:16Z</dcterms:created>
  <dcterms:modified xsi:type="dcterms:W3CDTF">2026-01-23T04:51:23Z</dcterms:modified>
</cp:coreProperties>
</file>